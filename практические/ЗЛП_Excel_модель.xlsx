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одель" sheetId="1" state="visible" r:id="rId3"/>
    <sheet name="Чувствительность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<sst xmlns="http://schemas.openxmlformats.org/spreadsheetml/2006/main" count="50" uniqueCount="43">
  <si>
    <t xml:space="preserve">Модель ЗЛП: W = 300·x1 + 200·x2 → max</t>
  </si>
  <si>
    <t xml:space="preserve">Корпуса (x1)</t>
  </si>
  <si>
    <t xml:space="preserve">Кронштейны (x2)</t>
  </si>
  <si>
    <t xml:space="preserve">Прибыль:</t>
  </si>
  <si>
    <t xml:space="preserve">Ресурс</t>
  </si>
  <si>
    <t xml:space="preserve">норма x1</t>
  </si>
  <si>
    <t xml:space="preserve">норма x2</t>
  </si>
  <si>
    <t xml:space="preserve">запас</t>
  </si>
  <si>
    <t xml:space="preserve">расход</t>
  </si>
  <si>
    <t xml:space="preserve">остаток</t>
  </si>
  <si>
    <t xml:space="preserve">Фрезерные</t>
  </si>
  <si>
    <t xml:space="preserve">Токарные</t>
  </si>
  <si>
    <t xml:space="preserve">Прибыль на ед.</t>
  </si>
  <si>
    <t xml:space="preserve">Проверка двойственности (после «Поиска решения»)</t>
  </si>
  <si>
    <t xml:space="preserve">Теневая цена фрезерных</t>
  </si>
  <si>
    <t xml:space="preserve">Теневая цена токарных</t>
  </si>
  <si>
    <t xml:space="preserve">Σ (теневая цена × запас)</t>
  </si>
  <si>
    <t xml:space="preserve">Совпадает с прибылью B5?</t>
  </si>
  <si>
    <t xml:space="preserve">Легенда: жёлтые ячейки B2:B3 — изменяемые (их меняет «Поиск решения»); синий шрифт — исходные данные.</t>
  </si>
  <si>
    <t xml:space="preserve">Цены 300 и 200 вынесены в B10:C10 (по правилу выноса коэффициентов); теневые цены в B13:B14 взяты из отчёта об устойчивости.</t>
  </si>
  <si>
    <t xml:space="preserve">Диалог Поиска решения: цель $B$5 → Максимум; ячейки $B$2:$B$3; ограничения $E$8&lt;=$D$8, $E$9&lt;=$D$9; неотрицательные; метод — симплекс (линейные задачи).</t>
  </si>
  <si>
    <t xml:space="preserve">Таблица 4 — Исследование чувствительности (формулы для вершины B, пересечение обоих ограничений)</t>
  </si>
  <si>
    <t xml:space="preserve">Изменяемый параметр</t>
  </si>
  <si>
    <t xml:space="preserve">Значение</t>
  </si>
  <si>
    <t xml:space="preserve">c1</t>
  </si>
  <si>
    <t xml:space="preserve">c2</t>
  </si>
  <si>
    <t xml:space="preserve">b1</t>
  </si>
  <si>
    <t xml:space="preserve">b2</t>
  </si>
  <si>
    <t xml:space="preserve">x1</t>
  </si>
  <si>
    <t xml:space="preserve">x2</t>
  </si>
  <si>
    <t xml:space="preserve">W</t>
  </si>
  <si>
    <t xml:space="preserve">Теневая цена 1</t>
  </si>
  <si>
    <t xml:space="preserve">Теневая цена 2</t>
  </si>
  <si>
    <t xml:space="preserve">Вершина B допустима?</t>
  </si>
  <si>
    <t xml:space="preserve">Прибыль c1</t>
  </si>
  <si>
    <t xml:space="preserve">Прибыль c1 (базовое)</t>
  </si>
  <si>
    <t xml:space="preserve">Запас b1 (фрезерные)</t>
  </si>
  <si>
    <t xml:space="preserve">Запас b1 (фрезерные) (базовое)</t>
  </si>
  <si>
    <t xml:space="preserve">Запас b2 (токарные)</t>
  </si>
  <si>
    <t xml:space="preserve">Запас b2 (токарные) (базовое)</t>
  </si>
  <si>
    <t xml:space="preserve">Диапазоны устойчивости (вершина B остаётся оптимальной): c1 ∈ [133,33; 400]; c2 ∈ [150; 450]; b1 ∈ [240; 720]; b2 ∈ [200; 600].</t>
  </si>
  <si>
    <t xml:space="preserve">Формулы: x1=(3b1−2b2)/8, x2=(4b2−2b1)/8, y1=(3c1−2c2)/8, y2=(4c2−2c1)/8 — получены решением систем 4x1+2x2=b1, 2x1+3x2=b2 и 4y1+2y2=c1, 2y1+3y2=c2.</t>
  </si>
  <si>
    <t xml:space="preserve">Цвет: синий — вводимые значения. Сверьте результаты с «Поиском решения» (запускать вручную для каждой строки).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</si>
</sst>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.0##"/>
    <numFmt numFmtId="167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3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 t="s">
        <v>1</v>
      </c>
      <c r="B2" s="3" t="n">
        <v>0</v>
      </c>
      <c r="C2" s="2"/>
      <c r="D2" s="2"/>
      <c r="E2" s="2"/>
      <c r="F2" s="2"/>
    </row>
    <row r="3" customFormat="false" ht="15" hidden="false" customHeight="false" outlineLevel="0" collapsed="false">
      <c r="A3" s="2" t="s">
        <v>2</v>
      </c>
      <c r="B3" s="3" t="n">
        <v>0</v>
      </c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2" t="s">
        <v>3</v>
      </c>
      <c r="B5" s="4" t="n">
        <f aca="false">B10*B2+C10*B3</f>
        <v>0</v>
      </c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</row>
    <row r="8" customFormat="false" ht="15" hidden="false" customHeight="false" outlineLevel="0" collapsed="false">
      <c r="A8" s="6" t="s">
        <v>10</v>
      </c>
      <c r="B8" s="7" t="n">
        <v>4</v>
      </c>
      <c r="C8" s="7" t="n">
        <v>2</v>
      </c>
      <c r="D8" s="7" t="n">
        <v>400</v>
      </c>
      <c r="E8" s="6" t="n">
        <f aca="false">B8*$B$2+C8*$B$3</f>
        <v>0</v>
      </c>
      <c r="F8" s="6" t="n">
        <f aca="false">D8-E8</f>
        <v>400</v>
      </c>
    </row>
    <row r="9" customFormat="false" ht="15" hidden="false" customHeight="false" outlineLevel="0" collapsed="false">
      <c r="A9" s="6" t="s">
        <v>11</v>
      </c>
      <c r="B9" s="7" t="n">
        <v>2</v>
      </c>
      <c r="C9" s="7" t="n">
        <v>3</v>
      </c>
      <c r="D9" s="7" t="n">
        <v>360</v>
      </c>
      <c r="E9" s="6" t="n">
        <f aca="false">B9*$B$2+C9*$B$3</f>
        <v>0</v>
      </c>
      <c r="F9" s="6" t="n">
        <f aca="false">D9-E9</f>
        <v>360</v>
      </c>
    </row>
    <row r="10" customFormat="false" ht="15" hidden="false" customHeight="false" outlineLevel="0" collapsed="false">
      <c r="A10" s="6" t="s">
        <v>12</v>
      </c>
      <c r="B10" s="7" t="n">
        <v>300</v>
      </c>
      <c r="C10" s="7" t="n">
        <v>200</v>
      </c>
      <c r="D10" s="6"/>
      <c r="E10" s="6"/>
      <c r="F10" s="6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4" t="s">
        <v>13</v>
      </c>
      <c r="B12" s="2"/>
      <c r="C12" s="2"/>
      <c r="D12" s="2"/>
      <c r="E12" s="2"/>
      <c r="F12" s="2"/>
    </row>
    <row r="13" customFormat="false" ht="15" hidden="false" customHeight="false" outlineLevel="0" collapsed="false">
      <c r="A13" s="2" t="s">
        <v>14</v>
      </c>
      <c r="B13" s="8" t="n">
        <v>62.5</v>
      </c>
      <c r="C13" s="2"/>
      <c r="D13" s="2"/>
      <c r="E13" s="2"/>
      <c r="F13" s="2"/>
    </row>
    <row r="14" customFormat="false" ht="15" hidden="false" customHeight="false" outlineLevel="0" collapsed="false">
      <c r="A14" s="2" t="s">
        <v>15</v>
      </c>
      <c r="B14" s="8" t="n">
        <v>25</v>
      </c>
      <c r="C14" s="2"/>
      <c r="D14" s="2"/>
      <c r="E14" s="2"/>
      <c r="F14" s="2"/>
    </row>
    <row r="15" customFormat="false" ht="15" hidden="false" customHeight="false" outlineLevel="0" collapsed="false">
      <c r="A15" s="2" t="s">
        <v>16</v>
      </c>
      <c r="B15" s="2" t="n">
        <f aca="false">B13*D8+B14*D9</f>
        <v>34000</v>
      </c>
      <c r="C15" s="2"/>
      <c r="D15" s="2"/>
      <c r="E15" s="2"/>
      <c r="F15" s="2"/>
    </row>
    <row r="16" customFormat="false" ht="15" hidden="false" customHeight="false" outlineLevel="0" collapsed="false">
      <c r="A16" s="2" t="s">
        <v>17</v>
      </c>
      <c r="B16" s="2" t="str">
        <f aca="false">IF(ABS(B15-B5)&lt;0.01,"да","нет (пока не запущен Поиск решения)")</f>
        <v>нет (пока не запущен Поиск решения)</v>
      </c>
      <c r="C16" s="2"/>
      <c r="D16" s="2"/>
      <c r="E16" s="2"/>
      <c r="F16" s="2"/>
    </row>
    <row r="18" customFormat="false" ht="15" hidden="false" customHeight="false" outlineLevel="0" collapsed="false">
      <c r="A18" s="9" t="s">
        <v>18</v>
      </c>
    </row>
    <row r="19" customFormat="false" ht="15" hidden="false" customHeight="false" outlineLevel="0" collapsed="false">
      <c r="A19" s="9" t="s">
        <v>19</v>
      </c>
    </row>
    <row r="20" customFormat="false" ht="15" hidden="false" customHeight="false" outlineLevel="0" collapsed="false">
      <c r="A20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1" min="2" style="0" width="11"/>
    <col collapsed="false" customWidth="true" hidden="false" outlineLevel="0" max="12" min="12" style="0" width="22"/>
  </cols>
  <sheetData>
    <row r="1" customFormat="false" ht="15" hidden="false" customHeight="false" outlineLevel="0" collapsed="false">
      <c r="A1" s="1" t="s">
        <v>21</v>
      </c>
    </row>
    <row r="3" customFormat="false" ht="31.5" hidden="false" customHeight="true" outlineLevel="0" collapsed="false">
      <c r="A3" s="10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0" t="s">
        <v>27</v>
      </c>
      <c r="G3" s="10" t="s">
        <v>28</v>
      </c>
      <c r="H3" s="10" t="s">
        <v>29</v>
      </c>
      <c r="I3" s="10" t="s">
        <v>30</v>
      </c>
      <c r="J3" s="10" t="s">
        <v>31</v>
      </c>
      <c r="K3" s="10" t="s">
        <v>32</v>
      </c>
      <c r="L3" s="10" t="s">
        <v>33</v>
      </c>
    </row>
    <row r="4" customFormat="false" ht="15" hidden="false" customHeight="false" outlineLevel="0" collapsed="false">
      <c r="A4" s="6" t="s">
        <v>34</v>
      </c>
      <c r="B4" s="7" t="n">
        <v>260</v>
      </c>
      <c r="C4" s="6" t="n">
        <f aca="false">B4</f>
        <v>260</v>
      </c>
      <c r="D4" s="6" t="n">
        <v>200</v>
      </c>
      <c r="E4" s="6" t="n">
        <v>400</v>
      </c>
      <c r="F4" s="6" t="n">
        <v>360</v>
      </c>
      <c r="G4" s="11" t="n">
        <f aca="false">(3*E4-2*F4)/8</f>
        <v>60</v>
      </c>
      <c r="H4" s="11" t="n">
        <f aca="false">(4*F4-2*E4)/8</f>
        <v>80</v>
      </c>
      <c r="I4" s="12" t="n">
        <f aca="false">C4*G4+D4*H4</f>
        <v>31600</v>
      </c>
      <c r="J4" s="11" t="n">
        <f aca="false">(3*C4-2*D4)/8</f>
        <v>47.5</v>
      </c>
      <c r="K4" s="11" t="n">
        <f aca="false">(4*D4-2*C4)/8</f>
        <v>35</v>
      </c>
      <c r="L4" s="6" t="str">
        <f aca="false">IF(AND(G4&gt;=0,H4&gt;=0,J4&gt;=0,K4&gt;=0),"да","нет — смена вершины")</f>
        <v>да</v>
      </c>
    </row>
    <row r="5" customFormat="false" ht="15" hidden="false" customHeight="false" outlineLevel="0" collapsed="false">
      <c r="A5" s="6" t="s">
        <v>34</v>
      </c>
      <c r="B5" s="7" t="n">
        <v>280</v>
      </c>
      <c r="C5" s="6" t="n">
        <f aca="false">B5</f>
        <v>280</v>
      </c>
      <c r="D5" s="6" t="n">
        <v>200</v>
      </c>
      <c r="E5" s="6" t="n">
        <v>400</v>
      </c>
      <c r="F5" s="6" t="n">
        <v>360</v>
      </c>
      <c r="G5" s="11" t="n">
        <f aca="false">(3*E5-2*F5)/8</f>
        <v>60</v>
      </c>
      <c r="H5" s="11" t="n">
        <f aca="false">(4*F5-2*E5)/8</f>
        <v>80</v>
      </c>
      <c r="I5" s="12" t="n">
        <f aca="false">C5*G5+D5*H5</f>
        <v>32800</v>
      </c>
      <c r="J5" s="11" t="n">
        <f aca="false">(3*C5-2*D5)/8</f>
        <v>55</v>
      </c>
      <c r="K5" s="11" t="n">
        <f aca="false">(4*D5-2*C5)/8</f>
        <v>30</v>
      </c>
      <c r="L5" s="6" t="str">
        <f aca="false">IF(AND(G5&gt;=0,H5&gt;=0,J5&gt;=0,K5&gt;=0),"да","нет — смена вершины")</f>
        <v>да</v>
      </c>
    </row>
    <row r="6" customFormat="false" ht="15" hidden="false" customHeight="false" outlineLevel="0" collapsed="false">
      <c r="A6" s="6" t="s">
        <v>35</v>
      </c>
      <c r="B6" s="7" t="n">
        <v>300</v>
      </c>
      <c r="C6" s="6" t="n">
        <f aca="false">B6</f>
        <v>300</v>
      </c>
      <c r="D6" s="6" t="n">
        <v>200</v>
      </c>
      <c r="E6" s="6" t="n">
        <v>400</v>
      </c>
      <c r="F6" s="6" t="n">
        <v>360</v>
      </c>
      <c r="G6" s="11" t="n">
        <f aca="false">(3*E6-2*F6)/8</f>
        <v>60</v>
      </c>
      <c r="H6" s="11" t="n">
        <f aca="false">(4*F6-2*E6)/8</f>
        <v>80</v>
      </c>
      <c r="I6" s="12" t="n">
        <f aca="false">C6*G6+D6*H6</f>
        <v>34000</v>
      </c>
      <c r="J6" s="11" t="n">
        <f aca="false">(3*C6-2*D6)/8</f>
        <v>62.5</v>
      </c>
      <c r="K6" s="11" t="n">
        <f aca="false">(4*D6-2*C6)/8</f>
        <v>25</v>
      </c>
      <c r="L6" s="6" t="str">
        <f aca="false">IF(AND(G6&gt;=0,H6&gt;=0,J6&gt;=0,K6&gt;=0),"да","нет — смена вершины")</f>
        <v>да</v>
      </c>
    </row>
    <row r="7" customFormat="false" ht="15" hidden="false" customHeight="false" outlineLevel="0" collapsed="false">
      <c r="A7" s="6" t="s">
        <v>34</v>
      </c>
      <c r="B7" s="7" t="n">
        <v>320</v>
      </c>
      <c r="C7" s="6" t="n">
        <f aca="false">B7</f>
        <v>320</v>
      </c>
      <c r="D7" s="6" t="n">
        <v>200</v>
      </c>
      <c r="E7" s="6" t="n">
        <v>400</v>
      </c>
      <c r="F7" s="6" t="n">
        <v>360</v>
      </c>
      <c r="G7" s="11" t="n">
        <f aca="false">(3*E7-2*F7)/8</f>
        <v>60</v>
      </c>
      <c r="H7" s="11" t="n">
        <f aca="false">(4*F7-2*E7)/8</f>
        <v>80</v>
      </c>
      <c r="I7" s="12" t="n">
        <f aca="false">C7*G7+D7*H7</f>
        <v>35200</v>
      </c>
      <c r="J7" s="11" t="n">
        <f aca="false">(3*C7-2*D7)/8</f>
        <v>70</v>
      </c>
      <c r="K7" s="11" t="n">
        <f aca="false">(4*D7-2*C7)/8</f>
        <v>20</v>
      </c>
      <c r="L7" s="6" t="str">
        <f aca="false">IF(AND(G7&gt;=0,H7&gt;=0,J7&gt;=0,K7&gt;=0),"да","нет — смена вершины")</f>
        <v>да</v>
      </c>
    </row>
    <row r="8" customFormat="false" ht="15" hidden="false" customHeight="false" outlineLevel="0" collapsed="false">
      <c r="A8" s="6" t="s">
        <v>34</v>
      </c>
      <c r="B8" s="7" t="n">
        <v>340</v>
      </c>
      <c r="C8" s="6" t="n">
        <f aca="false">B8</f>
        <v>340</v>
      </c>
      <c r="D8" s="6" t="n">
        <v>200</v>
      </c>
      <c r="E8" s="6" t="n">
        <v>400</v>
      </c>
      <c r="F8" s="6" t="n">
        <v>360</v>
      </c>
      <c r="G8" s="11" t="n">
        <f aca="false">(3*E8-2*F8)/8</f>
        <v>60</v>
      </c>
      <c r="H8" s="11" t="n">
        <f aca="false">(4*F8-2*E8)/8</f>
        <v>80</v>
      </c>
      <c r="I8" s="12" t="n">
        <f aca="false">C8*G8+D8*H8</f>
        <v>36400</v>
      </c>
      <c r="J8" s="11" t="n">
        <f aca="false">(3*C8-2*D8)/8</f>
        <v>77.5</v>
      </c>
      <c r="K8" s="11" t="n">
        <f aca="false">(4*D8-2*C8)/8</f>
        <v>15</v>
      </c>
      <c r="L8" s="6" t="str">
        <f aca="false">IF(AND(G8&gt;=0,H8&gt;=0,J8&gt;=0,K8&gt;=0),"да","нет — смена вершины")</f>
        <v>да</v>
      </c>
    </row>
    <row r="9" customFormat="false" ht="15" hidden="false" customHeight="false" outlineLevel="0" collapsed="false">
      <c r="A9" s="6" t="s">
        <v>36</v>
      </c>
      <c r="B9" s="7" t="n">
        <v>380</v>
      </c>
      <c r="C9" s="6" t="n">
        <v>300</v>
      </c>
      <c r="D9" s="6" t="n">
        <v>200</v>
      </c>
      <c r="E9" s="6" t="n">
        <f aca="false">B9</f>
        <v>380</v>
      </c>
      <c r="F9" s="6" t="n">
        <v>360</v>
      </c>
      <c r="G9" s="11" t="n">
        <f aca="false">(3*E9-2*F9)/8</f>
        <v>52.5</v>
      </c>
      <c r="H9" s="11" t="n">
        <f aca="false">(4*F9-2*E9)/8</f>
        <v>85</v>
      </c>
      <c r="I9" s="12" t="n">
        <f aca="false">C9*G9+D9*H9</f>
        <v>32750</v>
      </c>
      <c r="J9" s="11" t="n">
        <f aca="false">(3*C9-2*D9)/8</f>
        <v>62.5</v>
      </c>
      <c r="K9" s="11" t="n">
        <f aca="false">(4*D9-2*C9)/8</f>
        <v>25</v>
      </c>
      <c r="L9" s="6" t="str">
        <f aca="false">IF(AND(G9&gt;=0,H9&gt;=0,J9&gt;=0,K9&gt;=0),"да","нет — смена вершины")</f>
        <v>да</v>
      </c>
    </row>
    <row r="10" customFormat="false" ht="15" hidden="false" customHeight="false" outlineLevel="0" collapsed="false">
      <c r="A10" s="6" t="s">
        <v>37</v>
      </c>
      <c r="B10" s="7" t="n">
        <v>400</v>
      </c>
      <c r="C10" s="6" t="n">
        <v>300</v>
      </c>
      <c r="D10" s="6" t="n">
        <v>200</v>
      </c>
      <c r="E10" s="6" t="n">
        <f aca="false">B10</f>
        <v>400</v>
      </c>
      <c r="F10" s="6" t="n">
        <v>360</v>
      </c>
      <c r="G10" s="11" t="n">
        <f aca="false">(3*E10-2*F10)/8</f>
        <v>60</v>
      </c>
      <c r="H10" s="11" t="n">
        <f aca="false">(4*F10-2*E10)/8</f>
        <v>80</v>
      </c>
      <c r="I10" s="12" t="n">
        <f aca="false">C10*G10+D10*H10</f>
        <v>34000</v>
      </c>
      <c r="J10" s="11" t="n">
        <f aca="false">(3*C10-2*D10)/8</f>
        <v>62.5</v>
      </c>
      <c r="K10" s="11" t="n">
        <f aca="false">(4*D10-2*C10)/8</f>
        <v>25</v>
      </c>
      <c r="L10" s="6" t="str">
        <f aca="false">IF(AND(G10&gt;=0,H10&gt;=0,J10&gt;=0,K10&gt;=0),"да","нет — смена вершины")</f>
        <v>да</v>
      </c>
    </row>
    <row r="11" customFormat="false" ht="15" hidden="false" customHeight="false" outlineLevel="0" collapsed="false">
      <c r="A11" s="6" t="s">
        <v>36</v>
      </c>
      <c r="B11" s="7" t="n">
        <v>420</v>
      </c>
      <c r="C11" s="6" t="n">
        <v>300</v>
      </c>
      <c r="D11" s="6" t="n">
        <v>200</v>
      </c>
      <c r="E11" s="6" t="n">
        <f aca="false">B11</f>
        <v>420</v>
      </c>
      <c r="F11" s="6" t="n">
        <v>360</v>
      </c>
      <c r="G11" s="11" t="n">
        <f aca="false">(3*E11-2*F11)/8</f>
        <v>67.5</v>
      </c>
      <c r="H11" s="11" t="n">
        <f aca="false">(4*F11-2*E11)/8</f>
        <v>75</v>
      </c>
      <c r="I11" s="12" t="n">
        <f aca="false">C11*G11+D11*H11</f>
        <v>35250</v>
      </c>
      <c r="J11" s="11" t="n">
        <f aca="false">(3*C11-2*D11)/8</f>
        <v>62.5</v>
      </c>
      <c r="K11" s="11" t="n">
        <f aca="false">(4*D11-2*C11)/8</f>
        <v>25</v>
      </c>
      <c r="L11" s="6" t="str">
        <f aca="false">IF(AND(G11&gt;=0,H11&gt;=0,J11&gt;=0,K11&gt;=0),"да","нет — смена вершины")</f>
        <v>да</v>
      </c>
    </row>
    <row r="12" customFormat="false" ht="15" hidden="false" customHeight="false" outlineLevel="0" collapsed="false">
      <c r="A12" s="6" t="s">
        <v>36</v>
      </c>
      <c r="B12" s="7" t="n">
        <v>440</v>
      </c>
      <c r="C12" s="6" t="n">
        <v>300</v>
      </c>
      <c r="D12" s="6" t="n">
        <v>200</v>
      </c>
      <c r="E12" s="6" t="n">
        <f aca="false">B12</f>
        <v>440</v>
      </c>
      <c r="F12" s="6" t="n">
        <v>360</v>
      </c>
      <c r="G12" s="11" t="n">
        <f aca="false">(3*E12-2*F12)/8</f>
        <v>75</v>
      </c>
      <c r="H12" s="11" t="n">
        <f aca="false">(4*F12-2*E12)/8</f>
        <v>70</v>
      </c>
      <c r="I12" s="12" t="n">
        <f aca="false">C12*G12+D12*H12</f>
        <v>36500</v>
      </c>
      <c r="J12" s="11" t="n">
        <f aca="false">(3*C12-2*D12)/8</f>
        <v>62.5</v>
      </c>
      <c r="K12" s="11" t="n">
        <f aca="false">(4*D12-2*C12)/8</f>
        <v>25</v>
      </c>
      <c r="L12" s="6" t="str">
        <f aca="false">IF(AND(G12&gt;=0,H12&gt;=0,J12&gt;=0,K12&gt;=0),"да","нет — смена вершины")</f>
        <v>да</v>
      </c>
    </row>
    <row r="13" customFormat="false" ht="15" hidden="false" customHeight="false" outlineLevel="0" collapsed="false">
      <c r="A13" s="6" t="s">
        <v>36</v>
      </c>
      <c r="B13" s="7" t="n">
        <v>460</v>
      </c>
      <c r="C13" s="6" t="n">
        <v>300</v>
      </c>
      <c r="D13" s="6" t="n">
        <v>200</v>
      </c>
      <c r="E13" s="6" t="n">
        <f aca="false">B13</f>
        <v>460</v>
      </c>
      <c r="F13" s="6" t="n">
        <v>360</v>
      </c>
      <c r="G13" s="11" t="n">
        <f aca="false">(3*E13-2*F13)/8</f>
        <v>82.5</v>
      </c>
      <c r="H13" s="11" t="n">
        <f aca="false">(4*F13-2*E13)/8</f>
        <v>65</v>
      </c>
      <c r="I13" s="12" t="n">
        <f aca="false">C13*G13+D13*H13</f>
        <v>37750</v>
      </c>
      <c r="J13" s="11" t="n">
        <f aca="false">(3*C13-2*D13)/8</f>
        <v>62.5</v>
      </c>
      <c r="K13" s="11" t="n">
        <f aca="false">(4*D13-2*C13)/8</f>
        <v>25</v>
      </c>
      <c r="L13" s="6" t="str">
        <f aca="false">IF(AND(G13&gt;=0,H13&gt;=0,J13&gt;=0,K13&gt;=0),"да","нет — смена вершины")</f>
        <v>да</v>
      </c>
    </row>
    <row r="14" customFormat="false" ht="15" hidden="false" customHeight="false" outlineLevel="0" collapsed="false">
      <c r="A14" s="6" t="s">
        <v>38</v>
      </c>
      <c r="B14" s="7" t="n">
        <v>320</v>
      </c>
      <c r="C14" s="6" t="n">
        <v>300</v>
      </c>
      <c r="D14" s="6" t="n">
        <v>200</v>
      </c>
      <c r="E14" s="6" t="n">
        <v>400</v>
      </c>
      <c r="F14" s="6" t="n">
        <f aca="false">B14</f>
        <v>320</v>
      </c>
      <c r="G14" s="11" t="n">
        <f aca="false">(3*E14-2*F14)/8</f>
        <v>70</v>
      </c>
      <c r="H14" s="11" t="n">
        <f aca="false">(4*F14-2*E14)/8</f>
        <v>60</v>
      </c>
      <c r="I14" s="12" t="n">
        <f aca="false">C14*G14+D14*H14</f>
        <v>33000</v>
      </c>
      <c r="J14" s="11" t="n">
        <f aca="false">(3*C14-2*D14)/8</f>
        <v>62.5</v>
      </c>
      <c r="K14" s="11" t="n">
        <f aca="false">(4*D14-2*C14)/8</f>
        <v>25</v>
      </c>
      <c r="L14" s="6" t="str">
        <f aca="false">IF(AND(G14&gt;=0,H14&gt;=0,J14&gt;=0,K14&gt;=0),"да","нет — смена вершины")</f>
        <v>да</v>
      </c>
    </row>
    <row r="15" customFormat="false" ht="15" hidden="false" customHeight="false" outlineLevel="0" collapsed="false">
      <c r="A15" s="6" t="s">
        <v>39</v>
      </c>
      <c r="B15" s="7" t="n">
        <v>360</v>
      </c>
      <c r="C15" s="6" t="n">
        <v>300</v>
      </c>
      <c r="D15" s="6" t="n">
        <v>200</v>
      </c>
      <c r="E15" s="6" t="n">
        <v>400</v>
      </c>
      <c r="F15" s="6" t="n">
        <f aca="false">B15</f>
        <v>360</v>
      </c>
      <c r="G15" s="11" t="n">
        <f aca="false">(3*E15-2*F15)/8</f>
        <v>60</v>
      </c>
      <c r="H15" s="11" t="n">
        <f aca="false">(4*F15-2*E15)/8</f>
        <v>80</v>
      </c>
      <c r="I15" s="12" t="n">
        <f aca="false">C15*G15+D15*H15</f>
        <v>34000</v>
      </c>
      <c r="J15" s="11" t="n">
        <f aca="false">(3*C15-2*D15)/8</f>
        <v>62.5</v>
      </c>
      <c r="K15" s="11" t="n">
        <f aca="false">(4*D15-2*C15)/8</f>
        <v>25</v>
      </c>
      <c r="L15" s="6" t="str">
        <f aca="false">IF(AND(G15&gt;=0,H15&gt;=0,J15&gt;=0,K15&gt;=0),"да","нет — смена вершины")</f>
        <v>да</v>
      </c>
    </row>
    <row r="16" customFormat="false" ht="15" hidden="false" customHeight="false" outlineLevel="0" collapsed="false">
      <c r="A16" s="6" t="s">
        <v>38</v>
      </c>
      <c r="B16" s="7" t="n">
        <v>400</v>
      </c>
      <c r="C16" s="6" t="n">
        <v>300</v>
      </c>
      <c r="D16" s="6" t="n">
        <v>200</v>
      </c>
      <c r="E16" s="6" t="n">
        <v>400</v>
      </c>
      <c r="F16" s="6" t="n">
        <f aca="false">B16</f>
        <v>400</v>
      </c>
      <c r="G16" s="11" t="n">
        <f aca="false">(3*E16-2*F16)/8</f>
        <v>50</v>
      </c>
      <c r="H16" s="11" t="n">
        <f aca="false">(4*F16-2*E16)/8</f>
        <v>100</v>
      </c>
      <c r="I16" s="12" t="n">
        <f aca="false">C16*G16+D16*H16</f>
        <v>35000</v>
      </c>
      <c r="J16" s="11" t="n">
        <f aca="false">(3*C16-2*D16)/8</f>
        <v>62.5</v>
      </c>
      <c r="K16" s="11" t="n">
        <f aca="false">(4*D16-2*C16)/8</f>
        <v>25</v>
      </c>
      <c r="L16" s="6" t="str">
        <f aca="false">IF(AND(G16&gt;=0,H16&gt;=0,J16&gt;=0,K16&gt;=0),"да","нет — смена вершины")</f>
        <v>да</v>
      </c>
    </row>
    <row r="18" customFormat="false" ht="15" hidden="false" customHeight="false" outlineLevel="0" collapsed="false">
      <c r="A18" s="9" t="s">
        <v>40</v>
      </c>
    </row>
    <row r="19" customFormat="false" ht="15" hidden="false" customHeight="false" outlineLevel="0" collapsed="false">
      <c r="A19" s="9" t="s">
        <v>41</v>
      </c>
    </row>
    <row r="20" customFormat="false" ht="15" hidden="false" customHeight="false" outlineLevel="0" collapsed="false">
      <c r="A20" s="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2026-10-14T07:17:18Z</dcterms:created>
  <dc:creator>openpyxl</dc:creator>
  <dc:description/>
  <dc:language>en-US</dc:language>
  <cp:lastModifiedBy/>
  <dcterms:modified xsi:type="dcterms:W3CDTF">2026-10-14T07:17:18Z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