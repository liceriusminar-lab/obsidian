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75" windowHeight="9720" tabRatio="500"/>
  </bookViews>
  <sheets>
    <sheet name="Модель" sheetId="1" r:id="rId1"/>
    <sheet name="Эксперимен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<sst xmlns="http://schemas.openxmlformats.org/spreadsheetml/2006/main" count="39" uniqueCount="30">
  <si>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a (коэффициент прироста)</t>
  </si>
  <si>
    <t>K (ёмкость рынка)</t>
  </si>
  <si>
    <t>N0 (начальное число пользователей)</t>
  </si>
  <si>
    <t>t</t>
  </si>
  <si>
    <t>N(t)</t>
  </si>
  <si>
    <t>прирост</t>
  </si>
  <si>
    <t>доля насыщения</t>
  </si>
  <si>
    <t>K (уровень)</t>
  </si>
  <si>
    <t>№</t>
  </si>
  <si>
    <t>Серия</t>
  </si>
  <si>
    <t>a</t>
  </si>
  <si>
    <t>K</t>
  </si>
  <si>
    <t>N0</t>
  </si>
  <si>
    <t>t* (выход на 0,95·K)</t>
  </si>
  <si>
    <t>Наблюдение</t>
  </si>
  <si>
    <t>1 (a)</t>
  </si>
  <si>
    <t>Монотонный выход на K, без перелётов</t>
  </si>
  <si>
    <t>Затухающие перелёты через K, амплитуда убывает, к t≈40 практически равновесие</t>
  </si>
  <si>
    <t>Устойчивый 2-цикл: ≈74 136 и ≈101 578, размах ≈30,5% K</t>
  </si>
  <si>
    <t>Устойчивый 2-цикл (базовый): ≈61 909 и ≈106 352, размах ≈49,4% K</t>
  </si>
  <si>
    <t>Многоточечный цикл периода 8, размах ≈74,1% K</t>
  </si>
  <si>
    <t>Нерегулярное поведение, значения в диапазоне ≈22 500…115 900 без периодичности</t>
  </si>
  <si>
    <t>2 (N0)</t>
  </si>
  <si>
    <t>2-цикл ≈61 909/106 352, выход на 0,95K на 2 мес позже, чем при N0=4000</t>
  </si>
  <si>
    <t>Базовый опыт (см. серию 1, №4)</t>
  </si>
  <si>
    <t>2-цикл ≈61 909/106 352, тот же предельный цикл, выход быстрее</t>
  </si>
  <si>
    <t>N0&gt;K: старт выше K, сразу убывает, затем выходит на тот же 2-цикл</t>
  </si>
  <si>
    <t>3 (K)</t>
  </si>
  <si>
    <t>2-цикл ≈41 272/70 902, размах ≈49,4% K (масштабируется вместе с K)</t>
  </si>
  <si>
    <t>2-цикл ≈82 545/141 803, размах ≈49,4% K, время выхода почти не меняется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</si>
</sst>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"/>
    </font>
    <font>
      <b/>
      <sz val="11"/>
      <name val="Times New Roman"/>
      <charset val="1"/>
    </font>
    <font>
      <sz val="11"/>
      <color theme="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1" fillId="0" borderId="1" xfId="0" applyFont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A7EBB"/>
      <rgbColor rgb="00878787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Логистическая модель роста пользователей (вариант 3)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Модель!$B$5</c:f>
              <c:strCache>
                <c:ptCount val="1"/>
                <c:pt idx="0">
                  <c:v>N(t)</c:v>
                </c:pt>
              </c:strCache>
            </c:strRef>
          </c:tx>
          <c:spPr>
            <a:ln w="2016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Модель!$A$6:$A$46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Модель!$B$6:$B$46</c:f>
              <c:numCache>
                <c:formatCode>General</c:formatCode>
                <c:ptCount val="41"/>
                <c:pt idx="0">
                  <c:v>4000</c:v>
                </c:pt>
                <c:pt idx="1">
                  <c:v>12791.1111111111</c:v>
                </c:pt>
                <c:pt idx="2">
                  <c:v>38029.457733882</c:v>
                </c:pt>
                <c:pt idx="3">
                  <c:v>88537.7526581865</c:v>
                </c:pt>
                <c:pt idx="4">
                  <c:v>91846.2794914256</c:v>
                </c:pt>
                <c:pt idx="5">
                  <c:v>87512.7242132684</c:v>
                </c:pt>
                <c:pt idx="6">
                  <c:v>93075.3580346367</c:v>
                </c:pt>
                <c:pt idx="7">
                  <c:v>85760.334530586</c:v>
                </c:pt>
                <c:pt idx="8">
                  <c:v>95052.2100483177</c:v>
                </c:pt>
                <c:pt idx="9">
                  <c:v>82779.8258187832</c:v>
                </c:pt>
                <c:pt idx="10">
                  <c:v>98053.9919358446</c:v>
                </c:pt>
                <c:pt idx="11">
                  <c:v>77872.1037274454</c:v>
                </c:pt>
                <c:pt idx="12">
                  <c:v>102007.404083265</c:v>
                </c:pt>
                <c:pt idx="13">
                  <c:v>70705.8321197194</c:v>
                </c:pt>
                <c:pt idx="14">
                  <c:v>105568.981548335</c:v>
                </c:pt>
                <c:pt idx="15">
                  <c:v>63565.8314444912</c:v>
                </c:pt>
                <c:pt idx="16">
                  <c:v>106507.084515401</c:v>
                </c:pt>
                <c:pt idx="17">
                  <c:v>61577.3142393475</c:v>
                </c:pt>
                <c:pt idx="18">
                  <c:v>106304.459806046</c:v>
                </c:pt>
                <c:pt idx="19">
                  <c:v>62010.6306743185</c:v>
                </c:pt>
                <c:pt idx="20">
                  <c:v>106365.835355901</c:v>
                </c:pt>
                <c:pt idx="21">
                  <c:v>61879.5995499742</c:v>
                </c:pt>
                <c:pt idx="22">
                  <c:v>106348.288147472</c:v>
                </c:pt>
                <c:pt idx="23">
                  <c:v>61917.0808714939</c:v>
                </c:pt>
                <c:pt idx="24">
                  <c:v>106353.397116059</c:v>
                </c:pt>
                <c:pt idx="25">
                  <c:v>61906.1695975484</c:v>
                </c:pt>
                <c:pt idx="26">
                  <c:v>106351.917241321</c:v>
                </c:pt>
                <c:pt idx="27">
                  <c:v>61909.3303176812</c:v>
                </c:pt>
                <c:pt idx="28">
                  <c:v>106352.346549652</c:v>
                </c:pt>
                <c:pt idx="29">
                  <c:v>61908.4134114104</c:v>
                </c:pt>
                <c:pt idx="30">
                  <c:v>106352.222062414</c:v>
                </c:pt>
                <c:pt idx="31">
                  <c:v>61908.679289189</c:v>
                </c:pt>
                <c:pt idx="32">
                  <c:v>106352.258164737</c:v>
                </c:pt>
                <c:pt idx="33">
                  <c:v>61908.602182528</c:v>
                </c:pt>
                <c:pt idx="34">
                  <c:v>106352.247695149</c:v>
                </c:pt>
                <c:pt idx="35">
                  <c:v>61908.6245432826</c:v>
                </c:pt>
                <c:pt idx="36">
                  <c:v>106352.250731337</c:v>
                </c:pt>
                <c:pt idx="37">
                  <c:v>61908.6180586489</c:v>
                </c:pt>
                <c:pt idx="38">
                  <c:v>106352.249850843</c:v>
                </c:pt>
                <c:pt idx="39">
                  <c:v>61908.6199391914</c:v>
                </c:pt>
                <c:pt idx="40">
                  <c:v>106352.250106186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Модель!$E$5</c:f>
              <c:strCache>
                <c:ptCount val="1"/>
                <c:pt idx="0">
                  <c:v>K (уровень)</c:v>
                </c:pt>
              </c:strCache>
            </c:strRef>
          </c:tx>
          <c:spPr>
            <a:ln w="10080" cap="rnd" cmpd="sng" algn="ctr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Модель!$A$6:$A$46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Модель!$E$6:$E$46</c:f>
              <c:numCache>
                <c:formatCode>General</c:formatCode>
                <c:ptCount val="41"/>
                <c:pt idx="0">
                  <c:v>90000</c:v>
                </c:pt>
                <c:pt idx="1">
                  <c:v>90000</c:v>
                </c:pt>
                <c:pt idx="2">
                  <c:v>90000</c:v>
                </c:pt>
                <c:pt idx="3">
                  <c:v>90000</c:v>
                </c:pt>
                <c:pt idx="4">
                  <c:v>90000</c:v>
                </c:pt>
                <c:pt idx="5">
                  <c:v>90000</c:v>
                </c:pt>
                <c:pt idx="6">
                  <c:v>90000</c:v>
                </c:pt>
                <c:pt idx="7">
                  <c:v>90000</c:v>
                </c:pt>
                <c:pt idx="8">
                  <c:v>90000</c:v>
                </c:pt>
                <c:pt idx="9">
                  <c:v>90000</c:v>
                </c:pt>
                <c:pt idx="10">
                  <c:v>90000</c:v>
                </c:pt>
                <c:pt idx="11">
                  <c:v>90000</c:v>
                </c:pt>
                <c:pt idx="12">
                  <c:v>90000</c:v>
                </c:pt>
                <c:pt idx="13">
                  <c:v>90000</c:v>
                </c:pt>
                <c:pt idx="14">
                  <c:v>90000</c:v>
                </c:pt>
                <c:pt idx="15">
                  <c:v>90000</c:v>
                </c:pt>
                <c:pt idx="16">
                  <c:v>90000</c:v>
                </c:pt>
                <c:pt idx="17">
                  <c:v>90000</c:v>
                </c:pt>
                <c:pt idx="18">
                  <c:v>90000</c:v>
                </c:pt>
                <c:pt idx="19">
                  <c:v>90000</c:v>
                </c:pt>
                <c:pt idx="20">
                  <c:v>90000</c:v>
                </c:pt>
                <c:pt idx="21">
                  <c:v>90000</c:v>
                </c:pt>
                <c:pt idx="22">
                  <c:v>90000</c:v>
                </c:pt>
                <c:pt idx="23">
                  <c:v>90000</c:v>
                </c:pt>
                <c:pt idx="24">
                  <c:v>90000</c:v>
                </c:pt>
                <c:pt idx="25">
                  <c:v>90000</c:v>
                </c:pt>
                <c:pt idx="26">
                  <c:v>90000</c:v>
                </c:pt>
                <c:pt idx="27">
                  <c:v>90000</c:v>
                </c:pt>
                <c:pt idx="28">
                  <c:v>90000</c:v>
                </c:pt>
                <c:pt idx="29">
                  <c:v>90000</c:v>
                </c:pt>
                <c:pt idx="30">
                  <c:v>90000</c:v>
                </c:pt>
                <c:pt idx="31">
                  <c:v>90000</c:v>
                </c:pt>
                <c:pt idx="32">
                  <c:v>90000</c:v>
                </c:pt>
                <c:pt idx="33">
                  <c:v>90000</c:v>
                </c:pt>
                <c:pt idx="34">
                  <c:v>90000</c:v>
                </c:pt>
                <c:pt idx="35">
                  <c:v>90000</c:v>
                </c:pt>
                <c:pt idx="36">
                  <c:v>90000</c:v>
                </c:pt>
                <c:pt idx="37">
                  <c:v>90000</c:v>
                </c:pt>
                <c:pt idx="38">
                  <c:v>90000</c:v>
                </c:pt>
                <c:pt idx="39">
                  <c:v>90000</c:v>
                </c:pt>
                <c:pt idx="40">
                  <c:v>90000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12127949"/>
        <c:axId val="66946427"/>
      </c:scatterChart>
      <c:valAx>
        <c:axId val="12127949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Месяц 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6946427"/>
        <c:crosses val="autoZero"/>
        <c:crossBetween val="midCat"/>
      </c:valAx>
      <c:valAx>
        <c:axId val="6694642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Число пользователей N(t)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212794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ae9d4c-dd3a-47c6-a8a7-92d680baea1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18</xdr:row>
      <xdr:rowOff>0</xdr:rowOff>
    </xdr:to>
    <xdr:graphicFrame>
      <xdr:nvGraphicFramePr>
        <xdr:cNvPr id="2" name="Chart 1"/>
        <xdr:cNvGraphicFramePr/>
      </xdr:nvGraphicFramePr>
      <xdr:xfrm>
        <a:off x="5669915" y="182880"/>
        <a:ext cx="6314440" cy="310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6"/>
  <sheetViews>
    <sheetView tabSelected="1" workbookViewId="0">
      <selection activeCell="E14" sqref="E14"/>
    </sheetView>
  </sheetViews>
  <sheetFormatPr defaultColWidth="8.67592592592593" defaultRowHeight="14.4" outlineLevelCol="4"/>
  <cols>
    <col min="1" max="1" width="20" customWidth="1"/>
    <col min="2" max="2" width="14" customWidth="1"/>
    <col min="3" max="3" width="12" customWidth="1"/>
    <col min="4" max="4" width="16" customWidth="1"/>
    <col min="5" max="5" width="12" customWidth="1"/>
  </cols>
  <sheetData>
    <row r="1" spans="1:5">
      <c r="A1" s="6" t="s">
        <v>0</v>
      </c>
      <c r="B1" s="7">
        <v>2.3</v>
      </c>
      <c r="C1" s="5"/>
      <c r="D1" s="5"/>
      <c r="E1" s="5"/>
    </row>
    <row r="2" spans="1:5">
      <c r="A2" s="6" t="s">
        <v>1</v>
      </c>
      <c r="B2" s="7">
        <v>90000</v>
      </c>
      <c r="C2" s="5"/>
      <c r="D2" s="5"/>
      <c r="E2" s="5"/>
    </row>
    <row r="3" spans="1:5">
      <c r="A3" s="6" t="s">
        <v>2</v>
      </c>
      <c r="B3" s="7">
        <v>4000</v>
      </c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spans="1:5">
      <c r="A6" s="2">
        <v>0</v>
      </c>
      <c r="B6" s="2">
        <f>$B$3</f>
        <v>4000</v>
      </c>
      <c r="C6" s="2"/>
      <c r="D6" s="2">
        <f t="shared" ref="D6:D46" si="0">B6/$B$2</f>
        <v>0.0444444444444444</v>
      </c>
      <c r="E6" s="2">
        <f t="shared" ref="E6:E46" si="1">$B$2</f>
        <v>90000</v>
      </c>
    </row>
    <row r="7" spans="1:5">
      <c r="A7" s="2">
        <f t="shared" ref="A7:A46" si="2">A6+1</f>
        <v>1</v>
      </c>
      <c r="B7" s="2">
        <f t="shared" ref="B7:B46" si="3">B6+$B$1*B6*(1-B6/$B$2)</f>
        <v>12791.1111111111</v>
      </c>
      <c r="C7" s="2">
        <f t="shared" ref="C7:C46" si="4">B7-B6</f>
        <v>8791.11111111111</v>
      </c>
      <c r="D7" s="2">
        <f t="shared" si="0"/>
        <v>0.142123456790123</v>
      </c>
      <c r="E7" s="2">
        <f t="shared" si="1"/>
        <v>90000</v>
      </c>
    </row>
    <row r="8" spans="1:5">
      <c r="A8" s="2">
        <f t="shared" si="2"/>
        <v>2</v>
      </c>
      <c r="B8" s="2">
        <f t="shared" si="3"/>
        <v>38029.457733882</v>
      </c>
      <c r="C8" s="2">
        <f t="shared" si="4"/>
        <v>25238.3466227709</v>
      </c>
      <c r="D8" s="2">
        <f t="shared" si="0"/>
        <v>0.422549530376467</v>
      </c>
      <c r="E8" s="2">
        <f t="shared" si="1"/>
        <v>90000</v>
      </c>
    </row>
    <row r="9" spans="1:5">
      <c r="A9" s="2">
        <f t="shared" si="2"/>
        <v>3</v>
      </c>
      <c r="B9" s="2">
        <f t="shared" si="3"/>
        <v>88537.7526581865</v>
      </c>
      <c r="C9" s="2">
        <f t="shared" si="4"/>
        <v>50508.2949243045</v>
      </c>
      <c r="D9" s="2">
        <f t="shared" si="0"/>
        <v>0.983752807313184</v>
      </c>
      <c r="E9" s="2">
        <f t="shared" si="1"/>
        <v>90000</v>
      </c>
    </row>
    <row r="10" spans="1:5">
      <c r="A10" s="2">
        <f t="shared" si="2"/>
        <v>4</v>
      </c>
      <c r="B10" s="2">
        <f t="shared" si="3"/>
        <v>91846.2794914256</v>
      </c>
      <c r="C10" s="2">
        <f t="shared" si="4"/>
        <v>3308.52683323907</v>
      </c>
      <c r="D10" s="2">
        <f t="shared" si="0"/>
        <v>1.0205142165714</v>
      </c>
      <c r="E10" s="2">
        <f t="shared" si="1"/>
        <v>90000</v>
      </c>
    </row>
    <row r="11" spans="1:5">
      <c r="A11" s="2">
        <f t="shared" si="2"/>
        <v>5</v>
      </c>
      <c r="B11" s="2">
        <f t="shared" si="3"/>
        <v>87512.7242132684</v>
      </c>
      <c r="C11" s="2">
        <f t="shared" si="4"/>
        <v>-4333.55527815723</v>
      </c>
      <c r="D11" s="2">
        <f t="shared" si="0"/>
        <v>0.972363602369648</v>
      </c>
      <c r="E11" s="2">
        <f t="shared" si="1"/>
        <v>90000</v>
      </c>
    </row>
    <row r="12" spans="1:5">
      <c r="A12" s="2">
        <f t="shared" si="2"/>
        <v>6</v>
      </c>
      <c r="B12" s="2">
        <f t="shared" si="3"/>
        <v>93075.3580346367</v>
      </c>
      <c r="C12" s="2">
        <f t="shared" si="4"/>
        <v>5562.6338213683</v>
      </c>
      <c r="D12" s="2">
        <f t="shared" si="0"/>
        <v>1.0341706448293</v>
      </c>
      <c r="E12" s="2">
        <f t="shared" si="1"/>
        <v>90000</v>
      </c>
    </row>
    <row r="13" spans="1:5">
      <c r="A13" s="2">
        <f t="shared" si="2"/>
        <v>7</v>
      </c>
      <c r="B13" s="2">
        <f t="shared" si="3"/>
        <v>85760.334530586</v>
      </c>
      <c r="C13" s="2">
        <f t="shared" si="4"/>
        <v>-7315.02350405065</v>
      </c>
      <c r="D13" s="2">
        <f t="shared" si="0"/>
        <v>0.9528926058954</v>
      </c>
      <c r="E13" s="2">
        <f t="shared" si="1"/>
        <v>90000</v>
      </c>
    </row>
    <row r="14" spans="1:5">
      <c r="A14" s="2">
        <f t="shared" si="2"/>
        <v>8</v>
      </c>
      <c r="B14" s="2">
        <f t="shared" si="3"/>
        <v>95052.2100483177</v>
      </c>
      <c r="C14" s="2">
        <f t="shared" si="4"/>
        <v>9291.87551773171</v>
      </c>
      <c r="D14" s="2">
        <f t="shared" si="0"/>
        <v>1.05613566720353</v>
      </c>
      <c r="E14" s="2">
        <f t="shared" si="1"/>
        <v>90000</v>
      </c>
    </row>
    <row r="15" spans="1:5">
      <c r="A15" s="2">
        <f t="shared" si="2"/>
        <v>9</v>
      </c>
      <c r="B15" s="2">
        <f t="shared" si="3"/>
        <v>82779.8258187832</v>
      </c>
      <c r="C15" s="2">
        <f t="shared" si="4"/>
        <v>-12272.3842295345</v>
      </c>
      <c r="D15" s="2">
        <f t="shared" si="0"/>
        <v>0.919775842430925</v>
      </c>
      <c r="E15" s="2">
        <f t="shared" si="1"/>
        <v>90000</v>
      </c>
    </row>
    <row r="16" spans="1:5">
      <c r="A16" s="2">
        <f t="shared" si="2"/>
        <v>10</v>
      </c>
      <c r="B16" s="2">
        <f t="shared" si="3"/>
        <v>98053.9919358446</v>
      </c>
      <c r="C16" s="2">
        <f t="shared" si="4"/>
        <v>15274.1661170614</v>
      </c>
      <c r="D16" s="2">
        <f t="shared" si="0"/>
        <v>1.08948879928716</v>
      </c>
      <c r="E16" s="2">
        <f t="shared" si="1"/>
        <v>90000</v>
      </c>
    </row>
    <row r="17" spans="1:5">
      <c r="A17" s="2">
        <f t="shared" si="2"/>
        <v>11</v>
      </c>
      <c r="B17" s="2">
        <f t="shared" si="3"/>
        <v>77872.1037274454</v>
      </c>
      <c r="C17" s="2">
        <f t="shared" si="4"/>
        <v>-20181.8882083991</v>
      </c>
      <c r="D17" s="2">
        <f t="shared" si="0"/>
        <v>0.865245596971616</v>
      </c>
      <c r="E17" s="2">
        <f t="shared" si="1"/>
        <v>90000</v>
      </c>
    </row>
    <row r="18" spans="1:5">
      <c r="A18" s="2">
        <f t="shared" si="2"/>
        <v>12</v>
      </c>
      <c r="B18" s="2">
        <f t="shared" si="3"/>
        <v>102007.404083265</v>
      </c>
      <c r="C18" s="2">
        <f t="shared" si="4"/>
        <v>24135.3003558195</v>
      </c>
      <c r="D18" s="2">
        <f t="shared" si="0"/>
        <v>1.13341560092517</v>
      </c>
      <c r="E18" s="2">
        <f t="shared" si="1"/>
        <v>90000</v>
      </c>
    </row>
    <row r="19" spans="1:5">
      <c r="A19" s="2">
        <f t="shared" si="2"/>
        <v>13</v>
      </c>
      <c r="B19" s="2">
        <f t="shared" si="3"/>
        <v>70705.8321197194</v>
      </c>
      <c r="C19" s="2">
        <f t="shared" si="4"/>
        <v>-31301.5719635455</v>
      </c>
      <c r="D19" s="2">
        <f t="shared" si="0"/>
        <v>0.785620356885771</v>
      </c>
      <c r="E19" s="2">
        <f t="shared" si="1"/>
        <v>90000</v>
      </c>
    </row>
    <row r="20" spans="1:5">
      <c r="A20" s="2">
        <f t="shared" si="2"/>
        <v>14</v>
      </c>
      <c r="B20" s="2">
        <f t="shared" si="3"/>
        <v>105568.981548335</v>
      </c>
      <c r="C20" s="2">
        <f t="shared" si="4"/>
        <v>34863.1494286161</v>
      </c>
      <c r="D20" s="2">
        <f t="shared" si="0"/>
        <v>1.17298868387039</v>
      </c>
      <c r="E20" s="2">
        <f t="shared" si="1"/>
        <v>90000</v>
      </c>
    </row>
    <row r="21" spans="1:5">
      <c r="A21" s="2">
        <f t="shared" si="2"/>
        <v>15</v>
      </c>
      <c r="B21" s="2">
        <f t="shared" si="3"/>
        <v>63565.8314444912</v>
      </c>
      <c r="C21" s="2">
        <f t="shared" si="4"/>
        <v>-42003.1501038443</v>
      </c>
      <c r="D21" s="2">
        <f t="shared" si="0"/>
        <v>0.706287016049902</v>
      </c>
      <c r="E21" s="2">
        <f t="shared" si="1"/>
        <v>90000</v>
      </c>
    </row>
    <row r="22" spans="1:5">
      <c r="A22" s="2">
        <f t="shared" si="2"/>
        <v>16</v>
      </c>
      <c r="B22" s="2">
        <f t="shared" si="3"/>
        <v>106507.084515401</v>
      </c>
      <c r="C22" s="2">
        <f t="shared" si="4"/>
        <v>42941.2530709101</v>
      </c>
      <c r="D22" s="2">
        <f t="shared" si="0"/>
        <v>1.18341205017113</v>
      </c>
      <c r="E22" s="2">
        <f t="shared" si="1"/>
        <v>90000</v>
      </c>
    </row>
    <row r="23" spans="1:5">
      <c r="A23" s="2">
        <f t="shared" si="2"/>
        <v>17</v>
      </c>
      <c r="B23" s="2">
        <f t="shared" si="3"/>
        <v>61577.3142393475</v>
      </c>
      <c r="C23" s="2">
        <f t="shared" si="4"/>
        <v>-44929.7702760538</v>
      </c>
      <c r="D23" s="2">
        <f t="shared" si="0"/>
        <v>0.684192380437194</v>
      </c>
      <c r="E23" s="2">
        <f t="shared" si="1"/>
        <v>90000</v>
      </c>
    </row>
    <row r="24" spans="1:5">
      <c r="A24" s="2">
        <f t="shared" si="2"/>
        <v>18</v>
      </c>
      <c r="B24" s="2">
        <f t="shared" si="3"/>
        <v>106304.459806046</v>
      </c>
      <c r="C24" s="2">
        <f t="shared" si="4"/>
        <v>44727.1455666982</v>
      </c>
      <c r="D24" s="2">
        <f t="shared" si="0"/>
        <v>1.18116066451162</v>
      </c>
      <c r="E24" s="2">
        <f t="shared" si="1"/>
        <v>90000</v>
      </c>
    </row>
    <row r="25" spans="1:5">
      <c r="A25" s="2">
        <f t="shared" si="2"/>
        <v>19</v>
      </c>
      <c r="B25" s="2">
        <f t="shared" si="3"/>
        <v>62010.6306743185</v>
      </c>
      <c r="C25" s="2">
        <f t="shared" si="4"/>
        <v>-44293.8291317271</v>
      </c>
      <c r="D25" s="2">
        <f t="shared" si="0"/>
        <v>0.689007007492427</v>
      </c>
      <c r="E25" s="2">
        <f t="shared" si="1"/>
        <v>90000</v>
      </c>
    </row>
    <row r="26" spans="1:5">
      <c r="A26" s="2">
        <f t="shared" si="2"/>
        <v>20</v>
      </c>
      <c r="B26" s="2">
        <f t="shared" si="3"/>
        <v>106365.835355901</v>
      </c>
      <c r="C26" s="2">
        <f t="shared" si="4"/>
        <v>44355.2046815828</v>
      </c>
      <c r="D26" s="2">
        <f t="shared" si="0"/>
        <v>1.18184261506557</v>
      </c>
      <c r="E26" s="2">
        <f t="shared" si="1"/>
        <v>90000</v>
      </c>
    </row>
    <row r="27" spans="1:5">
      <c r="A27" s="2">
        <f t="shared" si="2"/>
        <v>21</v>
      </c>
      <c r="B27" s="2">
        <f t="shared" si="3"/>
        <v>61879.5995499742</v>
      </c>
      <c r="C27" s="2">
        <f t="shared" si="4"/>
        <v>-44486.2358059271</v>
      </c>
      <c r="D27" s="2">
        <f t="shared" si="0"/>
        <v>0.687551106110824</v>
      </c>
      <c r="E27" s="2">
        <f t="shared" si="1"/>
        <v>90000</v>
      </c>
    </row>
    <row r="28" spans="1:5">
      <c r="A28" s="2">
        <f t="shared" si="2"/>
        <v>22</v>
      </c>
      <c r="B28" s="2">
        <f t="shared" si="3"/>
        <v>106348.288147472</v>
      </c>
      <c r="C28" s="2">
        <f t="shared" si="4"/>
        <v>44468.6885974975</v>
      </c>
      <c r="D28" s="2">
        <f t="shared" si="0"/>
        <v>1.18164764608302</v>
      </c>
      <c r="E28" s="2">
        <f t="shared" si="1"/>
        <v>90000</v>
      </c>
    </row>
    <row r="29" spans="1:5">
      <c r="A29" s="2">
        <f t="shared" si="2"/>
        <v>23</v>
      </c>
      <c r="B29" s="2">
        <f t="shared" si="3"/>
        <v>61917.0808714939</v>
      </c>
      <c r="C29" s="2">
        <f t="shared" si="4"/>
        <v>-44431.2072759778</v>
      </c>
      <c r="D29" s="2">
        <f t="shared" si="0"/>
        <v>0.687967565238821</v>
      </c>
      <c r="E29" s="2">
        <f t="shared" si="1"/>
        <v>90000</v>
      </c>
    </row>
    <row r="30" spans="1:5">
      <c r="A30" s="2">
        <f t="shared" si="2"/>
        <v>24</v>
      </c>
      <c r="B30" s="2">
        <f t="shared" si="3"/>
        <v>106353.397116059</v>
      </c>
      <c r="C30" s="2">
        <f t="shared" si="4"/>
        <v>44436.3162445652</v>
      </c>
      <c r="D30" s="2">
        <f t="shared" si="0"/>
        <v>1.18170441240066</v>
      </c>
      <c r="E30" s="2">
        <f t="shared" si="1"/>
        <v>90000</v>
      </c>
    </row>
    <row r="31" spans="1:5">
      <c r="A31" s="2">
        <f t="shared" si="2"/>
        <v>25</v>
      </c>
      <c r="B31" s="2">
        <f t="shared" si="3"/>
        <v>61906.1695975484</v>
      </c>
      <c r="C31" s="2">
        <f t="shared" si="4"/>
        <v>-44447.2275185107</v>
      </c>
      <c r="D31" s="2">
        <f t="shared" si="0"/>
        <v>0.687846328861649</v>
      </c>
      <c r="E31" s="2">
        <f t="shared" si="1"/>
        <v>90000</v>
      </c>
    </row>
    <row r="32" spans="1:5">
      <c r="A32" s="2">
        <f t="shared" si="2"/>
        <v>26</v>
      </c>
      <c r="B32" s="2">
        <f t="shared" si="3"/>
        <v>106351.917241321</v>
      </c>
      <c r="C32" s="2">
        <f t="shared" si="4"/>
        <v>44445.7476437726</v>
      </c>
      <c r="D32" s="2">
        <f t="shared" si="0"/>
        <v>1.18168796934801</v>
      </c>
      <c r="E32" s="2">
        <f t="shared" si="1"/>
        <v>90000</v>
      </c>
    </row>
    <row r="33" spans="1:5">
      <c r="A33" s="2">
        <f t="shared" si="2"/>
        <v>27</v>
      </c>
      <c r="B33" s="2">
        <f t="shared" si="3"/>
        <v>61909.3303176812</v>
      </c>
      <c r="C33" s="2">
        <f t="shared" si="4"/>
        <v>-44442.5869236399</v>
      </c>
      <c r="D33" s="2">
        <f t="shared" si="0"/>
        <v>0.687881447974235</v>
      </c>
      <c r="E33" s="2">
        <f t="shared" si="1"/>
        <v>90000</v>
      </c>
    </row>
    <row r="34" spans="1:5">
      <c r="A34" s="2">
        <f t="shared" si="2"/>
        <v>28</v>
      </c>
      <c r="B34" s="2">
        <f t="shared" si="3"/>
        <v>106352.346549652</v>
      </c>
      <c r="C34" s="2">
        <f t="shared" si="4"/>
        <v>44443.0162319707</v>
      </c>
      <c r="D34" s="2">
        <f t="shared" si="0"/>
        <v>1.18169273944058</v>
      </c>
      <c r="E34" s="2">
        <f t="shared" si="1"/>
        <v>90000</v>
      </c>
    </row>
    <row r="35" spans="1:5">
      <c r="A35" s="2">
        <f t="shared" si="2"/>
        <v>29</v>
      </c>
      <c r="B35" s="2">
        <f t="shared" si="3"/>
        <v>61908.4134114104</v>
      </c>
      <c r="C35" s="2">
        <f t="shared" si="4"/>
        <v>-44443.9331382414</v>
      </c>
      <c r="D35" s="2">
        <f t="shared" si="0"/>
        <v>0.687871260126783</v>
      </c>
      <c r="E35" s="2">
        <f t="shared" si="1"/>
        <v>90000</v>
      </c>
    </row>
    <row r="36" spans="1:5">
      <c r="A36" s="2">
        <f t="shared" si="2"/>
        <v>30</v>
      </c>
      <c r="B36" s="2">
        <f t="shared" si="3"/>
        <v>106352.222062414</v>
      </c>
      <c r="C36" s="2">
        <f t="shared" si="4"/>
        <v>44443.8086510036</v>
      </c>
      <c r="D36" s="2">
        <f t="shared" si="0"/>
        <v>1.18169135624904</v>
      </c>
      <c r="E36" s="2">
        <f t="shared" si="1"/>
        <v>90000</v>
      </c>
    </row>
    <row r="37" spans="1:5">
      <c r="A37" s="2">
        <f t="shared" si="2"/>
        <v>31</v>
      </c>
      <c r="B37" s="2">
        <f t="shared" si="3"/>
        <v>61908.679289189</v>
      </c>
      <c r="C37" s="2">
        <f t="shared" si="4"/>
        <v>-44443.542773225</v>
      </c>
      <c r="D37" s="2">
        <f t="shared" si="0"/>
        <v>0.687874214324323</v>
      </c>
      <c r="E37" s="2">
        <f t="shared" si="1"/>
        <v>90000</v>
      </c>
    </row>
    <row r="38" spans="1:5">
      <c r="A38" s="2">
        <f t="shared" si="2"/>
        <v>32</v>
      </c>
      <c r="B38" s="2">
        <f t="shared" si="3"/>
        <v>106352.258164737</v>
      </c>
      <c r="C38" s="2">
        <f t="shared" si="4"/>
        <v>44443.5788755478</v>
      </c>
      <c r="D38" s="2">
        <f t="shared" si="0"/>
        <v>1.18169175738597</v>
      </c>
      <c r="E38" s="2">
        <f t="shared" si="1"/>
        <v>90000</v>
      </c>
    </row>
    <row r="39" spans="1:5">
      <c r="A39" s="2">
        <f t="shared" si="2"/>
        <v>33</v>
      </c>
      <c r="B39" s="2">
        <f t="shared" si="3"/>
        <v>61908.602182528</v>
      </c>
      <c r="C39" s="2">
        <f t="shared" si="4"/>
        <v>-44443.6559822089</v>
      </c>
      <c r="D39" s="2">
        <f t="shared" si="0"/>
        <v>0.687873357583644</v>
      </c>
      <c r="E39" s="2">
        <f t="shared" si="1"/>
        <v>90000</v>
      </c>
    </row>
    <row r="40" spans="1:5">
      <c r="A40" s="2">
        <f t="shared" si="2"/>
        <v>34</v>
      </c>
      <c r="B40" s="2">
        <f t="shared" si="3"/>
        <v>106352.247695149</v>
      </c>
      <c r="C40" s="2">
        <f t="shared" si="4"/>
        <v>44443.6455126213</v>
      </c>
      <c r="D40" s="2">
        <f t="shared" si="0"/>
        <v>1.18169164105721</v>
      </c>
      <c r="E40" s="2">
        <f t="shared" si="1"/>
        <v>90000</v>
      </c>
    </row>
    <row r="41" spans="1:5">
      <c r="A41" s="2">
        <f t="shared" si="2"/>
        <v>35</v>
      </c>
      <c r="B41" s="2">
        <f t="shared" si="3"/>
        <v>61908.6245432826</v>
      </c>
      <c r="C41" s="2">
        <f t="shared" si="4"/>
        <v>-44443.6231518667</v>
      </c>
      <c r="D41" s="2">
        <f t="shared" si="0"/>
        <v>0.687873606036474</v>
      </c>
      <c r="E41" s="2">
        <f t="shared" si="1"/>
        <v>90000</v>
      </c>
    </row>
    <row r="42" spans="1:5">
      <c r="A42" s="2">
        <f t="shared" si="2"/>
        <v>36</v>
      </c>
      <c r="B42" s="2">
        <f t="shared" si="3"/>
        <v>106352.250731337</v>
      </c>
      <c r="C42" s="2">
        <f t="shared" si="4"/>
        <v>44443.6261880543</v>
      </c>
      <c r="D42" s="2">
        <f t="shared" si="0"/>
        <v>1.18169167479263</v>
      </c>
      <c r="E42" s="2">
        <f t="shared" si="1"/>
        <v>90000</v>
      </c>
    </row>
    <row r="43" spans="1:5">
      <c r="A43" s="2">
        <f t="shared" si="2"/>
        <v>37</v>
      </c>
      <c r="B43" s="2">
        <f t="shared" si="3"/>
        <v>61908.6180586489</v>
      </c>
      <c r="C43" s="2">
        <f t="shared" si="4"/>
        <v>-44443.6326726881</v>
      </c>
      <c r="D43" s="2">
        <f t="shared" si="0"/>
        <v>0.687873533984988</v>
      </c>
      <c r="E43" s="2">
        <f t="shared" si="1"/>
        <v>90000</v>
      </c>
    </row>
    <row r="44" spans="1:5">
      <c r="A44" s="2">
        <f t="shared" si="2"/>
        <v>38</v>
      </c>
      <c r="B44" s="2">
        <f t="shared" si="3"/>
        <v>106352.249850843</v>
      </c>
      <c r="C44" s="2">
        <f t="shared" si="4"/>
        <v>44443.6317921942</v>
      </c>
      <c r="D44" s="2">
        <f t="shared" si="0"/>
        <v>1.18169166500937</v>
      </c>
      <c r="E44" s="2">
        <f t="shared" si="1"/>
        <v>90000</v>
      </c>
    </row>
    <row r="45" spans="1:5">
      <c r="A45" s="2">
        <f t="shared" si="2"/>
        <v>39</v>
      </c>
      <c r="B45" s="2">
        <f t="shared" si="3"/>
        <v>61908.6199391914</v>
      </c>
      <c r="C45" s="2">
        <f t="shared" si="4"/>
        <v>-44443.6299116517</v>
      </c>
      <c r="D45" s="2">
        <f t="shared" si="0"/>
        <v>0.687873554879905</v>
      </c>
      <c r="E45" s="2">
        <f t="shared" si="1"/>
        <v>90000</v>
      </c>
    </row>
    <row r="46" spans="1:5">
      <c r="A46" s="2">
        <f t="shared" si="2"/>
        <v>40</v>
      </c>
      <c r="B46" s="2">
        <f t="shared" si="3"/>
        <v>106352.250106186</v>
      </c>
      <c r="C46" s="2">
        <f t="shared" si="4"/>
        <v>44443.630166995</v>
      </c>
      <c r="D46" s="2">
        <f t="shared" si="0"/>
        <v>1.18169166784652</v>
      </c>
      <c r="E46" s="2">
        <f t="shared" si="1"/>
        <v>90000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4"/>
  <sheetViews>
    <sheetView workbookViewId="0">
      <selection activeCell="I5" sqref="I5"/>
    </sheetView>
  </sheetViews>
  <sheetFormatPr defaultColWidth="8.67592592592593" defaultRowHeight="14.4" outlineLevelCol="6"/>
  <cols>
    <col min="1" max="1" width="5" customWidth="1"/>
    <col min="2" max="2" width="10" customWidth="1"/>
    <col min="3" max="3" width="8" customWidth="1"/>
    <col min="4" max="5" width="10" customWidth="1"/>
    <col min="6" max="6" width="12" customWidth="1"/>
    <col min="7" max="7" width="60" customWidth="1"/>
  </cols>
  <sheetData>
    <row r="1" ht="30" customHeight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1</v>
      </c>
      <c r="B2" s="3" t="s">
        <v>15</v>
      </c>
      <c r="C2" s="2">
        <v>1.2</v>
      </c>
      <c r="D2" s="2">
        <v>90000</v>
      </c>
      <c r="E2" s="2">
        <v>4000</v>
      </c>
      <c r="F2" s="2">
        <v>6</v>
      </c>
      <c r="G2" s="4" t="s">
        <v>16</v>
      </c>
    </row>
    <row r="3" ht="27.6" spans="1:7">
      <c r="A3" s="2">
        <v>2</v>
      </c>
      <c r="B3" s="3" t="s">
        <v>15</v>
      </c>
      <c r="C3" s="2">
        <v>1.9</v>
      </c>
      <c r="D3" s="2">
        <v>90000</v>
      </c>
      <c r="E3" s="2">
        <v>4000</v>
      </c>
      <c r="F3" s="2">
        <v>4</v>
      </c>
      <c r="G3" s="4" t="s">
        <v>17</v>
      </c>
    </row>
    <row r="4" spans="1:7">
      <c r="A4" s="2">
        <v>3</v>
      </c>
      <c r="B4" s="3" t="s">
        <v>15</v>
      </c>
      <c r="C4" s="2">
        <v>2.1</v>
      </c>
      <c r="D4" s="2">
        <v>90000</v>
      </c>
      <c r="E4" s="2">
        <v>4000</v>
      </c>
      <c r="F4" s="2">
        <v>4</v>
      </c>
      <c r="G4" s="4" t="s">
        <v>18</v>
      </c>
    </row>
    <row r="5" ht="27.6" spans="1:7">
      <c r="A5" s="2">
        <v>4</v>
      </c>
      <c r="B5" s="3" t="s">
        <v>15</v>
      </c>
      <c r="C5" s="2">
        <v>2.3</v>
      </c>
      <c r="D5" s="2">
        <v>90000</v>
      </c>
      <c r="E5" s="2">
        <v>4000</v>
      </c>
      <c r="F5" s="2">
        <v>3</v>
      </c>
      <c r="G5" s="4" t="s">
        <v>19</v>
      </c>
    </row>
    <row r="6" spans="1:7">
      <c r="A6" s="2">
        <v>5</v>
      </c>
      <c r="B6" s="3" t="s">
        <v>15</v>
      </c>
      <c r="C6" s="2">
        <v>2.55</v>
      </c>
      <c r="D6" s="2">
        <v>90000</v>
      </c>
      <c r="E6" s="2">
        <v>4000</v>
      </c>
      <c r="F6" s="2">
        <v>3</v>
      </c>
      <c r="G6" s="4" t="s">
        <v>20</v>
      </c>
    </row>
    <row r="7" ht="27.6" spans="1:7">
      <c r="A7" s="2">
        <v>6</v>
      </c>
      <c r="B7" s="3" t="s">
        <v>15</v>
      </c>
      <c r="C7" s="2">
        <v>2.8</v>
      </c>
      <c r="D7" s="2">
        <v>90000</v>
      </c>
      <c r="E7" s="2">
        <v>4000</v>
      </c>
      <c r="F7" s="2">
        <v>3</v>
      </c>
      <c r="G7" s="4" t="s">
        <v>21</v>
      </c>
    </row>
    <row r="8" ht="27.6" spans="1:7">
      <c r="A8" s="2">
        <v>7</v>
      </c>
      <c r="B8" s="3" t="s">
        <v>22</v>
      </c>
      <c r="C8" s="2">
        <v>2.3</v>
      </c>
      <c r="D8" s="2">
        <v>90000</v>
      </c>
      <c r="E8" s="2">
        <v>1000</v>
      </c>
      <c r="F8" s="2">
        <v>5</v>
      </c>
      <c r="G8" s="4" t="s">
        <v>23</v>
      </c>
    </row>
    <row r="9" spans="1:7">
      <c r="A9" s="2">
        <v>8</v>
      </c>
      <c r="B9" s="3" t="s">
        <v>22</v>
      </c>
      <c r="C9" s="2">
        <v>2.3</v>
      </c>
      <c r="D9" s="2">
        <v>90000</v>
      </c>
      <c r="E9" s="2">
        <v>4000</v>
      </c>
      <c r="F9" s="2">
        <v>3</v>
      </c>
      <c r="G9" s="4" t="s">
        <v>24</v>
      </c>
    </row>
    <row r="10" spans="1:7">
      <c r="A10" s="2">
        <v>9</v>
      </c>
      <c r="B10" s="3" t="s">
        <v>22</v>
      </c>
      <c r="C10" s="2">
        <v>2.3</v>
      </c>
      <c r="D10" s="2">
        <v>90000</v>
      </c>
      <c r="E10" s="2">
        <v>50000</v>
      </c>
      <c r="F10" s="2">
        <v>1</v>
      </c>
      <c r="G10" s="4" t="s">
        <v>25</v>
      </c>
    </row>
    <row r="11" ht="27.6" spans="1:7">
      <c r="A11" s="2">
        <v>10</v>
      </c>
      <c r="B11" s="3" t="s">
        <v>22</v>
      </c>
      <c r="C11" s="2">
        <v>2.3</v>
      </c>
      <c r="D11" s="2">
        <v>90000</v>
      </c>
      <c r="E11" s="2">
        <v>95000</v>
      </c>
      <c r="F11" s="2">
        <v>0</v>
      </c>
      <c r="G11" s="4" t="s">
        <v>26</v>
      </c>
    </row>
    <row r="12" ht="27.6" spans="1:7">
      <c r="A12" s="2">
        <v>11</v>
      </c>
      <c r="B12" s="3" t="s">
        <v>27</v>
      </c>
      <c r="C12" s="2">
        <v>2.3</v>
      </c>
      <c r="D12" s="2">
        <v>60000</v>
      </c>
      <c r="E12" s="2">
        <v>4000</v>
      </c>
      <c r="F12" s="2">
        <v>3</v>
      </c>
      <c r="G12" s="4" t="s">
        <v>28</v>
      </c>
    </row>
    <row r="13" ht="27.6" spans="1:7">
      <c r="A13" s="2">
        <v>12</v>
      </c>
      <c r="B13" s="3" t="s">
        <v>27</v>
      </c>
      <c r="C13" s="2">
        <v>2.3</v>
      </c>
      <c r="D13" s="2">
        <v>120000</v>
      </c>
      <c r="E13" s="2">
        <v>4000</v>
      </c>
      <c r="F13" s="2">
        <v>4</v>
      </c>
      <c r="G13" s="4" t="s">
        <v>29</v>
      </c>
    </row>
    <row r="14" spans="1:7">
      <c r="A14" s="5"/>
      <c r="B14" s="5"/>
      <c r="C14" s="5"/>
      <c r="D14" s="5"/>
      <c r="E14" s="5"/>
      <c r="F14" s="5"/>
      <c r="G14" s="5"/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Модель</vt:lpstr>
      <vt:lpstr>Эксперимент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Волк Петрович</cp:lastModifiedBy>
  <cp:revision>1</cp:revision>
  <dcterms:created xsi:type="dcterms:W3CDTF">2026-09-14T22:50:00Z</dcterms:created>
  <dcterms:modified xsi:type="dcterms:W3CDTF">2026-09-29T01:51:09Z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AA0B8D61F6824C879A4C3111416D1727_12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